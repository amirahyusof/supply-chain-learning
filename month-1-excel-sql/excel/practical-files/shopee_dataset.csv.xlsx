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Pc\OneDrive\Desktop\File Ezzamie\Supply Chain\supply-chain-learning\month-1-excel-sql\excel\practical-files\"/>
    </mc:Choice>
  </mc:AlternateContent>
  <xr:revisionPtr revIDLastSave="0" documentId="13_ncr:1_{C8E6F5E4-3C88-4C84-87C3-0EF4BB174B56}" xr6:coauthVersionLast="47" xr6:coauthVersionMax="47" xr10:uidLastSave="{00000000-0000-0000-0000-000000000000}"/>
  <bookViews>
    <workbookView xWindow="-108" yWindow="-108" windowWidth="23256" windowHeight="12456" activeTab="2" xr2:uid="{853F661C-3DAD-4ABE-A156-A3D937B1C445}"/>
  </bookViews>
  <sheets>
    <sheet name="Sales by Category" sheetId="4" r:id="rId1"/>
    <sheet name="Seller Performance" sheetId="3" r:id="rId2"/>
    <sheet name="Sales by Region" sheetId="2" r:id="rId3"/>
    <sheet name="Payment Method Breakdown" sheetId="5" r:id="rId4"/>
    <sheet name="Discount Impact" sheetId="6" r:id="rId5"/>
    <sheet name="shopee_dataset" sheetId="1" r:id="rId6"/>
  </sheets>
  <calcPr calcId="0" iterateDelta="1E-4"/>
  <pivotCaches>
    <pivotCache cacheId="2" r:id="rId7"/>
  </pivotCaches>
</workbook>
</file>

<file path=xl/sharedStrings.xml><?xml version="1.0" encoding="utf-8"?>
<sst xmlns="http://schemas.openxmlformats.org/spreadsheetml/2006/main" count="377" uniqueCount="114">
  <si>
    <t>OrderID</t>
  </si>
  <si>
    <t>OrderDate</t>
  </si>
  <si>
    <t>ProductID</t>
  </si>
  <si>
    <t>ProductName</t>
  </si>
  <si>
    <t>Category</t>
  </si>
  <si>
    <t>Price</t>
  </si>
  <si>
    <t>Quantity</t>
  </si>
  <si>
    <t>GrossSales</t>
  </si>
  <si>
    <t>Discount</t>
  </si>
  <si>
    <t>NetSales</t>
  </si>
  <si>
    <t>Seller</t>
  </si>
  <si>
    <t>Region</t>
  </si>
  <si>
    <t>PaymentMethod</t>
  </si>
  <si>
    <t>Rating</t>
  </si>
  <si>
    <t>ORD1000</t>
  </si>
  <si>
    <t>P200</t>
  </si>
  <si>
    <t>Wireless Earbuds</t>
  </si>
  <si>
    <t>Electronics</t>
  </si>
  <si>
    <t>TopStore</t>
  </si>
  <si>
    <t>Sabah</t>
  </si>
  <si>
    <t>Credit Card</t>
  </si>
  <si>
    <t>ORD1001</t>
  </si>
  <si>
    <t>P201</t>
  </si>
  <si>
    <t>Phone Case</t>
  </si>
  <si>
    <t>Accessories</t>
  </si>
  <si>
    <t>Penang</t>
  </si>
  <si>
    <t>E-Wallet</t>
  </si>
  <si>
    <t>ORD1002</t>
  </si>
  <si>
    <t>P202</t>
  </si>
  <si>
    <t>Laptop Stand</t>
  </si>
  <si>
    <t>Office</t>
  </si>
  <si>
    <t>SellerA</t>
  </si>
  <si>
    <t>Johor</t>
  </si>
  <si>
    <t>COD</t>
  </si>
  <si>
    <t>ORD1003</t>
  </si>
  <si>
    <t>P203</t>
  </si>
  <si>
    <t>LED Ring Light</t>
  </si>
  <si>
    <t>MegaSeller</t>
  </si>
  <si>
    <t>Kuala Lumpur</t>
  </si>
  <si>
    <t>ORD1004</t>
  </si>
  <si>
    <t>P204</t>
  </si>
  <si>
    <t>T-Shirt</t>
  </si>
  <si>
    <t>Fashion</t>
  </si>
  <si>
    <t>ORD1005</t>
  </si>
  <si>
    <t>P205</t>
  </si>
  <si>
    <t>Running Shoes</t>
  </si>
  <si>
    <t>ORD1006</t>
  </si>
  <si>
    <t>P206</t>
  </si>
  <si>
    <t>Water Bottle</t>
  </si>
  <si>
    <t>Home</t>
  </si>
  <si>
    <t>SellerB</t>
  </si>
  <si>
    <t>ORD1007</t>
  </si>
  <si>
    <t>P207</t>
  </si>
  <si>
    <t>Bluetooth Speaker</t>
  </si>
  <si>
    <t>LocalShop</t>
  </si>
  <si>
    <t>Sarawak</t>
  </si>
  <si>
    <t>ORD1008</t>
  </si>
  <si>
    <t>P208</t>
  </si>
  <si>
    <t>Backpack</t>
  </si>
  <si>
    <t>Bags</t>
  </si>
  <si>
    <t>ORD1009</t>
  </si>
  <si>
    <t>P209</t>
  </si>
  <si>
    <t>Sunglasses</t>
  </si>
  <si>
    <t>ORD1010</t>
  </si>
  <si>
    <t>P210</t>
  </si>
  <si>
    <t>Power Bank</t>
  </si>
  <si>
    <t>ORD1011</t>
  </si>
  <si>
    <t>P211</t>
  </si>
  <si>
    <t>Smartwatch</t>
  </si>
  <si>
    <t>ORD1012</t>
  </si>
  <si>
    <t>ORD1013</t>
  </si>
  <si>
    <t>ShopeePay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</si>
  <si>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</si>
  <si>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</si>
  <si>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</si>
  <si>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</si>
  <si>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</si>
  <si>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</si>
  <si>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</si>
  <si>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</si>
  <si>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</si>
  <si>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</si>
  <si>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</si>
  <si>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</si>
  <si>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</si>
  <si>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</si>
  <si>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</si>
  <si>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</si>
  <si>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</si>
  <si>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</si>
  <si>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</si>
  <si>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</si>
  <si>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</si>
  <si>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</si>
  <si>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</si>
  <si>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</si>
  <si>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</si>
  <si>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</si>
  <si>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Row Labels</t>
  </si>
  <si>
    <t>(blank)</t>
  </si>
  <si>
    <t>Grand Total</t>
  </si>
  <si>
    <t>Sum of NetSales</t>
  </si>
  <si>
    <t>Count of OrderID</t>
  </si>
  <si>
    <t>Where are our customers buying from?</t>
  </si>
  <si>
    <t>Average of Rating</t>
  </si>
  <si>
    <t>Which seller has the highest sales and best ratings?</t>
  </si>
  <si>
    <t>Sum of Quantity</t>
  </si>
  <si>
    <t>Which product category brings in the most revenue?</t>
  </si>
  <si>
    <t>How do customers prefer to pay?</t>
  </si>
  <si>
    <t>Are high discounts hurting our revenue?</t>
  </si>
  <si>
    <t>Sum of GrossSales</t>
  </si>
  <si>
    <t>Average of Discount</t>
  </si>
  <si>
    <t>Sum of Revenue Retentation %</t>
  </si>
  <si>
    <t>Sum of Avg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</si>
</sst>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/>
    <xf numFmtId="0" fontId="0" fillId="0" borderId="0" xfId="0" applyNumberFormat="1"/>
    <xf numFmtId="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yPc" refreshedDate="46178.527203819445" createdVersion="8" refreshedVersion="8" minRefreshableVersion="3" recordCount="41" xr:uid="{33652D89-A73B-4BFA-BC12-742AEA7C9F02}">
  <cacheSource type="worksheet">
    <worksheetSource ref="A1:N1048576" sheet="shopee_dataset"/>
  </cacheSource>
  <cacheFields count="16">
    <cacheField name="OrderID" numFmtId="0">
      <sharedItems containsBlank="1"/>
    </cacheField>
    <cacheField name="OrderDate" numFmtId="0">
      <sharedItems containsNonDate="0" containsDate="1" containsString="0" containsBlank="1" minDate="2025-01-14T00:00:00" maxDate="2025-10-22T00:00:00"/>
    </cacheField>
    <cacheField name="ProductID" numFmtId="0">
      <sharedItems containsBlank="1"/>
    </cacheField>
    <cacheField name="ProductName" numFmtId="0">
      <sharedItems containsBlank="1"/>
    </cacheField>
    <cacheField name="Category" numFmtId="0">
      <sharedItems containsBlank="1" count="7">
        <s v="Electronics"/>
        <s v="Accessories"/>
        <s v="Office"/>
        <s v="Fashion"/>
        <s v="Home"/>
        <s v="Bags"/>
        <m/>
      </sharedItems>
    </cacheField>
    <cacheField name="Price" numFmtId="0">
      <sharedItems containsString="0" containsBlank="1" containsNumber="1" minValue="9.9" maxValue="199"/>
    </cacheField>
    <cacheField name="Quantity" numFmtId="0">
      <sharedItems containsString="0" containsBlank="1" containsNumber="1" containsInteger="1" minValue="1" maxValue="5"/>
    </cacheField>
    <cacheField name="GrossSales" numFmtId="0">
      <sharedItems containsString="0" containsBlank="1" containsNumber="1" minValue="12.5" maxValue="645"/>
    </cacheField>
    <cacheField name="Discount" numFmtId="0">
      <sharedItems containsString="0" containsBlank="1" containsNumber="1" containsInteger="1" minValue="0" maxValue="15"/>
    </cacheField>
    <cacheField name="NetSales" numFmtId="0">
      <sharedItems containsString="0" containsBlank="1" containsNumber="1" minValue="2.5" maxValue="645"/>
    </cacheField>
    <cacheField name="Seller" numFmtId="0">
      <sharedItems containsBlank="1" count="6">
        <s v="TopStore"/>
        <s v="SellerA"/>
        <s v="MegaSeller"/>
        <s v="SellerB"/>
        <s v="LocalShop"/>
        <m/>
      </sharedItems>
    </cacheField>
    <cacheField name="Region" numFmtId="0">
      <sharedItems containsBlank="1" count="6">
        <s v="Sabah"/>
        <s v="Penang"/>
        <s v="Johor"/>
        <s v="Kuala Lumpur"/>
        <s v="Sarawak"/>
        <m/>
      </sharedItems>
    </cacheField>
    <cacheField name="PaymentMethod" numFmtId="0">
      <sharedItems containsBlank="1" count="5">
        <s v="Credit Card"/>
        <s v="E-Wallet"/>
        <s v="COD"/>
        <s v="ShopeePay"/>
        <m/>
      </sharedItems>
    </cacheField>
    <cacheField name="Rating" numFmtId="0">
      <sharedItems containsString="0" containsBlank="1" containsNumber="1" containsInteger="1" minValue="3" maxValue="5"/>
    </cacheField>
    <cacheField name="Revenue Retentation %" numFmtId="0" formula="NetSales/GrossSales" databaseField="0"/>
    <cacheField name="Avg Order Value" numFmtId="0" formula="NetSales /Quantity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s v="ORD1000"/>
    <d v="2025-04-13T00:00:00"/>
    <s v="P200"/>
    <s v="Wireless Earbuds"/>
    <x v="0"/>
    <n v="199"/>
    <n v="1"/>
    <n v="199"/>
    <n v="5"/>
    <n v="194"/>
    <x v="0"/>
    <x v="0"/>
    <x v="0"/>
    <n v="3"/>
  </r>
  <r>
    <s v="ORD1001"/>
    <d v="2025-09-28T00:00:00"/>
    <s v="P201"/>
    <s v="Phone Case"/>
    <x v="1"/>
    <n v="129"/>
    <n v="4"/>
    <n v="516"/>
    <n v="15"/>
    <n v="501"/>
    <x v="0"/>
    <x v="1"/>
    <x v="1"/>
    <n v="5"/>
  </r>
  <r>
    <s v="ORD1002"/>
    <d v="2025-04-17T00:00:00"/>
    <s v="P202"/>
    <s v="Laptop Stand"/>
    <x v="2"/>
    <n v="199"/>
    <n v="3"/>
    <n v="597"/>
    <n v="10"/>
    <n v="587"/>
    <x v="1"/>
    <x v="2"/>
    <x v="2"/>
    <n v="4"/>
  </r>
  <r>
    <s v="ORD1003"/>
    <d v="2025-03-13T00:00:00"/>
    <s v="P203"/>
    <s v="LED Ring Light"/>
    <x v="0"/>
    <n v="39.9"/>
    <n v="3"/>
    <n v="119.7"/>
    <n v="10"/>
    <n v="109.7"/>
    <x v="2"/>
    <x v="3"/>
    <x v="2"/>
    <n v="5"/>
  </r>
  <r>
    <s v="ORD1004"/>
    <d v="2025-07-08T00:00:00"/>
    <s v="P204"/>
    <s v="T-Shirt"/>
    <x v="3"/>
    <n v="12.5"/>
    <n v="1"/>
    <n v="12.5"/>
    <n v="0"/>
    <n v="12.5"/>
    <x v="1"/>
    <x v="3"/>
    <x v="0"/>
    <n v="4"/>
  </r>
  <r>
    <s v="ORD1005"/>
    <d v="2025-01-21T00:00:00"/>
    <s v="P205"/>
    <s v="Running Shoes"/>
    <x v="3"/>
    <n v="29.9"/>
    <n v="3"/>
    <n v="89.7"/>
    <n v="10"/>
    <n v="79.7"/>
    <x v="0"/>
    <x v="0"/>
    <x v="0"/>
    <n v="4"/>
  </r>
  <r>
    <s v="ORD1006"/>
    <d v="2025-04-13T00:00:00"/>
    <s v="P206"/>
    <s v="Water Bottle"/>
    <x v="4"/>
    <n v="59.9"/>
    <n v="3"/>
    <n v="179.7"/>
    <n v="5"/>
    <n v="174.7"/>
    <x v="3"/>
    <x v="2"/>
    <x v="2"/>
    <n v="5"/>
  </r>
  <r>
    <s v="ORD1007"/>
    <d v="2025-05-02T00:00:00"/>
    <s v="P207"/>
    <s v="Bluetooth Speaker"/>
    <x v="0"/>
    <n v="89.9"/>
    <n v="1"/>
    <n v="89.9"/>
    <n v="10"/>
    <n v="79.900000000000006"/>
    <x v="4"/>
    <x v="4"/>
    <x v="2"/>
    <n v="4"/>
  </r>
  <r>
    <s v="ORD1008"/>
    <d v="2025-08-03T00:00:00"/>
    <s v="P208"/>
    <s v="Backpack"/>
    <x v="5"/>
    <n v="19.899999999999999"/>
    <n v="3"/>
    <n v="59.7"/>
    <n v="0"/>
    <n v="59.7"/>
    <x v="0"/>
    <x v="2"/>
    <x v="1"/>
    <n v="4"/>
  </r>
  <r>
    <s v="ORD1009"/>
    <d v="2025-03-29T00:00:00"/>
    <s v="P209"/>
    <s v="Sunglasses"/>
    <x v="1"/>
    <n v="9.9"/>
    <n v="5"/>
    <n v="49.5"/>
    <n v="0"/>
    <n v="49.5"/>
    <x v="1"/>
    <x v="0"/>
    <x v="1"/>
    <n v="5"/>
  </r>
  <r>
    <s v="ORD1010"/>
    <d v="2025-04-10T00:00:00"/>
    <s v="P210"/>
    <s v="Power Bank"/>
    <x v="0"/>
    <n v="29.9"/>
    <n v="2"/>
    <n v="59.8"/>
    <n v="15"/>
    <n v="44.8"/>
    <x v="4"/>
    <x v="0"/>
    <x v="2"/>
    <n v="3"/>
  </r>
  <r>
    <s v="ORD1011"/>
    <d v="2025-06-01T00:00:00"/>
    <s v="P211"/>
    <s v="Smartwatch"/>
    <x v="0"/>
    <n v="12.5"/>
    <n v="2"/>
    <n v="25"/>
    <n v="5"/>
    <n v="20"/>
    <x v="1"/>
    <x v="2"/>
    <x v="1"/>
    <n v="4"/>
  </r>
  <r>
    <s v="ORD1012"/>
    <d v="2025-05-11T00:00:00"/>
    <s v="P200"/>
    <s v="Wireless Earbuds"/>
    <x v="0"/>
    <n v="89.9"/>
    <n v="1"/>
    <n v="89.9"/>
    <n v="0"/>
    <n v="89.9"/>
    <x v="1"/>
    <x v="0"/>
    <x v="1"/>
    <n v="4"/>
  </r>
  <r>
    <s v="ORD1013"/>
    <d v="2025-05-30T00:00:00"/>
    <s v="P201"/>
    <s v="Phone Case"/>
    <x v="1"/>
    <n v="29.9"/>
    <n v="4"/>
    <n v="119.6"/>
    <n v="0"/>
    <n v="119.6"/>
    <x v="3"/>
    <x v="2"/>
    <x v="3"/>
    <n v="3"/>
  </r>
  <r>
    <s v="ORD1014"/>
    <d v="2025-09-15T00:00:00"/>
    <s v="P202"/>
    <s v="Laptop Stand"/>
    <x v="2"/>
    <n v="12.5"/>
    <n v="1"/>
    <n v="12.5"/>
    <n v="10"/>
    <n v="2.5"/>
    <x v="4"/>
    <x v="1"/>
    <x v="1"/>
    <n v="4"/>
  </r>
  <r>
    <s v="ORD1015"/>
    <d v="2025-10-21T00:00:00"/>
    <s v="P203"/>
    <s v="LED Ring Light"/>
    <x v="0"/>
    <n v="49.9"/>
    <n v="4"/>
    <n v="199.6"/>
    <n v="15"/>
    <n v="184.6"/>
    <x v="4"/>
    <x v="2"/>
    <x v="0"/>
    <n v="5"/>
  </r>
  <r>
    <s v="ORD1016"/>
    <d v="2025-07-11T00:00:00"/>
    <s v="P204"/>
    <s v="T-Shirt"/>
    <x v="3"/>
    <n v="49.9"/>
    <n v="2"/>
    <n v="99.8"/>
    <n v="0"/>
    <n v="99.8"/>
    <x v="3"/>
    <x v="2"/>
    <x v="1"/>
    <n v="4"/>
  </r>
  <r>
    <s v="ORD1017"/>
    <d v="2025-10-04T00:00:00"/>
    <s v="P205"/>
    <s v="Running Shoes"/>
    <x v="3"/>
    <n v="199"/>
    <n v="1"/>
    <n v="199"/>
    <n v="10"/>
    <n v="189"/>
    <x v="0"/>
    <x v="0"/>
    <x v="1"/>
    <n v="4"/>
  </r>
  <r>
    <s v="ORD1018"/>
    <d v="2025-06-10T00:00:00"/>
    <s v="P206"/>
    <s v="Water Bottle"/>
    <x v="4"/>
    <n v="29.9"/>
    <n v="5"/>
    <n v="149.5"/>
    <n v="15"/>
    <n v="134.5"/>
    <x v="1"/>
    <x v="0"/>
    <x v="2"/>
    <n v="4"/>
  </r>
  <r>
    <s v="ORD1019"/>
    <d v="2025-01-22T00:00:00"/>
    <s v="P207"/>
    <s v="Bluetooth Speaker"/>
    <x v="0"/>
    <n v="49.9"/>
    <n v="3"/>
    <n v="149.69999999999999"/>
    <n v="5"/>
    <n v="144.69999999999999"/>
    <x v="2"/>
    <x v="3"/>
    <x v="0"/>
    <n v="3"/>
  </r>
  <r>
    <s v="ORD1020"/>
    <d v="2025-09-10T00:00:00"/>
    <s v="P208"/>
    <s v="Backpack"/>
    <x v="5"/>
    <n v="12.5"/>
    <n v="4"/>
    <n v="50"/>
    <n v="5"/>
    <n v="45"/>
    <x v="1"/>
    <x v="3"/>
    <x v="1"/>
    <n v="4"/>
  </r>
  <r>
    <s v="ORD1021"/>
    <d v="2025-08-24T00:00:00"/>
    <s v="P209"/>
    <s v="Sunglasses"/>
    <x v="1"/>
    <n v="199"/>
    <n v="3"/>
    <n v="597"/>
    <n v="5"/>
    <n v="592"/>
    <x v="1"/>
    <x v="1"/>
    <x v="1"/>
    <n v="4"/>
  </r>
  <r>
    <s v="ORD1022"/>
    <d v="2025-02-18T00:00:00"/>
    <s v="P210"/>
    <s v="Power Bank"/>
    <x v="0"/>
    <n v="12.5"/>
    <n v="3"/>
    <n v="37.5"/>
    <n v="5"/>
    <n v="32.5"/>
    <x v="0"/>
    <x v="3"/>
    <x v="3"/>
    <n v="5"/>
  </r>
  <r>
    <s v="ORD1023"/>
    <d v="2025-02-28T00:00:00"/>
    <s v="P211"/>
    <s v="Smartwatch"/>
    <x v="0"/>
    <n v="199"/>
    <n v="1"/>
    <n v="199"/>
    <n v="5"/>
    <n v="194"/>
    <x v="1"/>
    <x v="2"/>
    <x v="1"/>
    <n v="4"/>
  </r>
  <r>
    <s v="ORD1024"/>
    <d v="2025-06-19T00:00:00"/>
    <s v="P200"/>
    <s v="Wireless Earbuds"/>
    <x v="0"/>
    <n v="29.9"/>
    <n v="3"/>
    <n v="89.7"/>
    <n v="15"/>
    <n v="74.7"/>
    <x v="3"/>
    <x v="0"/>
    <x v="1"/>
    <n v="4"/>
  </r>
  <r>
    <s v="ORD1025"/>
    <d v="2025-07-07T00:00:00"/>
    <s v="P201"/>
    <s v="Phone Case"/>
    <x v="1"/>
    <n v="89.9"/>
    <n v="5"/>
    <n v="449.5"/>
    <n v="15"/>
    <n v="434.5"/>
    <x v="3"/>
    <x v="3"/>
    <x v="3"/>
    <n v="4"/>
  </r>
  <r>
    <s v="ORD1026"/>
    <d v="2025-09-28T00:00:00"/>
    <s v="P202"/>
    <s v="Laptop Stand"/>
    <x v="2"/>
    <n v="59.9"/>
    <n v="3"/>
    <n v="179.7"/>
    <n v="0"/>
    <n v="179.7"/>
    <x v="4"/>
    <x v="3"/>
    <x v="2"/>
    <n v="4"/>
  </r>
  <r>
    <s v="ORD1027"/>
    <d v="2025-07-09T00:00:00"/>
    <s v="P203"/>
    <s v="LED Ring Light"/>
    <x v="0"/>
    <n v="129"/>
    <n v="1"/>
    <n v="129"/>
    <n v="0"/>
    <n v="129"/>
    <x v="2"/>
    <x v="1"/>
    <x v="1"/>
    <n v="3"/>
  </r>
  <r>
    <s v="ORD1028"/>
    <d v="2025-06-24T00:00:00"/>
    <s v="P204"/>
    <s v="T-Shirt"/>
    <x v="3"/>
    <n v="89.9"/>
    <n v="5"/>
    <n v="449.5"/>
    <n v="5"/>
    <n v="444.5"/>
    <x v="1"/>
    <x v="1"/>
    <x v="3"/>
    <n v="5"/>
  </r>
  <r>
    <s v="ORD1029"/>
    <d v="2025-02-20T00:00:00"/>
    <s v="P205"/>
    <s v="Running Shoes"/>
    <x v="3"/>
    <n v="39.9"/>
    <n v="2"/>
    <n v="79.8"/>
    <n v="0"/>
    <n v="79.8"/>
    <x v="1"/>
    <x v="2"/>
    <x v="0"/>
    <n v="3"/>
  </r>
  <r>
    <s v="ORD1030"/>
    <d v="2025-02-24T00:00:00"/>
    <s v="P206"/>
    <s v="Water Bottle"/>
    <x v="4"/>
    <n v="12.5"/>
    <n v="3"/>
    <n v="37.5"/>
    <n v="15"/>
    <n v="22.5"/>
    <x v="0"/>
    <x v="0"/>
    <x v="2"/>
    <n v="4"/>
  </r>
  <r>
    <s v="ORD1031"/>
    <d v="2025-09-01T00:00:00"/>
    <s v="P207"/>
    <s v="Bluetooth Speaker"/>
    <x v="0"/>
    <n v="39.9"/>
    <n v="1"/>
    <n v="39.9"/>
    <n v="0"/>
    <n v="39.9"/>
    <x v="3"/>
    <x v="1"/>
    <x v="0"/>
    <n v="4"/>
  </r>
  <r>
    <s v="ORD1032"/>
    <d v="2025-05-11T00:00:00"/>
    <s v="P208"/>
    <s v="Backpack"/>
    <x v="5"/>
    <n v="89.9"/>
    <n v="2"/>
    <n v="179.8"/>
    <n v="0"/>
    <n v="179.8"/>
    <x v="2"/>
    <x v="3"/>
    <x v="0"/>
    <n v="4"/>
  </r>
  <r>
    <s v="ORD1033"/>
    <d v="2025-05-15T00:00:00"/>
    <s v="P209"/>
    <s v="Sunglasses"/>
    <x v="1"/>
    <n v="199"/>
    <n v="2"/>
    <n v="398"/>
    <n v="0"/>
    <n v="398"/>
    <x v="4"/>
    <x v="0"/>
    <x v="3"/>
    <n v="4"/>
  </r>
  <r>
    <s v="ORD1034"/>
    <d v="2025-01-21T00:00:00"/>
    <s v="P210"/>
    <s v="Power Bank"/>
    <x v="0"/>
    <n v="129"/>
    <n v="4"/>
    <n v="516"/>
    <n v="0"/>
    <n v="516"/>
    <x v="3"/>
    <x v="0"/>
    <x v="1"/>
    <n v="3"/>
  </r>
  <r>
    <s v="ORD1035"/>
    <d v="2025-06-16T00:00:00"/>
    <s v="P211"/>
    <s v="Smartwatch"/>
    <x v="0"/>
    <n v="129"/>
    <n v="5"/>
    <n v="645"/>
    <n v="15"/>
    <n v="630"/>
    <x v="4"/>
    <x v="3"/>
    <x v="3"/>
    <n v="3"/>
  </r>
  <r>
    <s v="ORD1036"/>
    <d v="2025-10-01T00:00:00"/>
    <s v="P200"/>
    <s v="Wireless Earbuds"/>
    <x v="0"/>
    <n v="9.9"/>
    <n v="3"/>
    <n v="29.7"/>
    <n v="0"/>
    <n v="29.7"/>
    <x v="0"/>
    <x v="1"/>
    <x v="3"/>
    <n v="4"/>
  </r>
  <r>
    <s v="ORD1037"/>
    <d v="2025-03-30T00:00:00"/>
    <s v="P201"/>
    <s v="Phone Case"/>
    <x v="1"/>
    <n v="129"/>
    <n v="1"/>
    <n v="129"/>
    <n v="5"/>
    <n v="124"/>
    <x v="0"/>
    <x v="3"/>
    <x v="3"/>
    <n v="4"/>
  </r>
  <r>
    <s v="ORD1038"/>
    <d v="2025-01-14T00:00:00"/>
    <s v="P202"/>
    <s v="Laptop Stand"/>
    <x v="2"/>
    <n v="59.9"/>
    <n v="4"/>
    <n v="239.6"/>
    <n v="10"/>
    <n v="229.6"/>
    <x v="1"/>
    <x v="0"/>
    <x v="3"/>
    <n v="4"/>
  </r>
  <r>
    <s v="ORD1039"/>
    <d v="2025-08-30T00:00:00"/>
    <s v="P203"/>
    <s v="LED Ring Light"/>
    <x v="0"/>
    <n v="129"/>
    <n v="5"/>
    <n v="645"/>
    <n v="0"/>
    <n v="645"/>
    <x v="2"/>
    <x v="4"/>
    <x v="2"/>
    <n v="4"/>
  </r>
  <r>
    <m/>
    <m/>
    <m/>
    <m/>
    <x v="6"/>
    <m/>
    <m/>
    <m/>
    <m/>
    <m/>
    <x v="5"/>
    <x v="5"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B73B61-D695-4114-A985-E65ACD861D36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1" firstHeaderRow="0" firstDataRow="1" firstDataCol="1"/>
  <pivotFields count="16">
    <pivotField showAll="0"/>
    <pivotField showAll="0"/>
    <pivotField showAll="0"/>
    <pivotField showAll="0"/>
    <pivotField axis="axisRow" showAll="0">
      <items count="8">
        <item x="1"/>
        <item x="5"/>
        <item x="0"/>
        <item x="3"/>
        <item x="4"/>
        <item x="2"/>
        <item x="6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Sales" fld="9" baseField="0" baseItem="0"/>
    <dataField name="Sum of Quantity" fld="6" baseField="0" baseItem="0"/>
  </dataFields>
  <formats count="2">
    <format dxfId="13">
      <pivotArea collapsedLevelsAreSubtotals="1" fieldPosition="0">
        <references count="1">
          <reference field="4" count="1">
            <x v="2"/>
          </reference>
        </references>
      </pivotArea>
    </format>
    <format dxfId="12">
      <pivotArea dataOnly="0" labelOnly="1" fieldPosition="0">
        <references count="1">
          <reference field="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BFE013-0FCF-4F3F-8A52-8225F8DEE280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0" firstDataRow="1" firstDataCol="1"/>
  <pivotFields count="16"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axis="axisRow" showAll="0">
      <items count="7">
        <item x="4"/>
        <item x="2"/>
        <item x="1"/>
        <item x="3"/>
        <item x="0"/>
        <item x="5"/>
        <item t="default"/>
      </items>
    </pivotField>
    <pivotField showAll="0"/>
    <pivotField showAll="0"/>
    <pivotField dataField="1" showAll="0"/>
    <pivotField dragToRow="0" dragToCol="0" dragToPage="0" showAll="0" defaultSubtotal="0"/>
    <pivotField dataField="1" dragToRow="0" dragToCol="0" dragToPage="0" showAll="0" defaultSubtota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NetSales" fld="9" baseField="0" baseItem="0"/>
    <dataField name="Average of Rating" fld="13" subtotal="average" baseField="10" baseItem="0"/>
    <dataField name="Count of OrderID" fld="0" subtotal="count" baseField="0" baseItem="0"/>
    <dataField name="Sum of Quantity" fld="6" baseField="0" baseItem="0"/>
    <dataField name="Sum of Avg Order Value" fld="15" baseField="0" baseItem="0"/>
  </dataFields>
  <formats count="2">
    <format dxfId="11">
      <pivotArea collapsedLevelsAreSubtotals="1" fieldPosition="0">
        <references count="1">
          <reference field="10" count="1">
            <x v="2"/>
          </reference>
        </references>
      </pivotArea>
    </format>
    <format dxfId="10">
      <pivotArea dataOnly="0" labelOnly="1" fieldPosition="0">
        <references count="1">
          <reference field="10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70484D-4D0F-4E31-8764-937C29AA622C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2" firstHeaderRow="0" firstDataRow="1" firstDataCol="1"/>
  <pivotFields count="16">
    <pivotField dataField="1" showAll="0"/>
    <pivotField showAll="0"/>
    <pivotField showAll="0"/>
    <pivotField showAll="0"/>
    <pivotField axis="axisRow" showAll="0">
      <items count="8">
        <item x="1"/>
        <item x="5"/>
        <item x="0"/>
        <item x="3"/>
        <item x="4"/>
        <item x="2"/>
        <item x="6"/>
        <item t="default"/>
      </items>
    </pivotField>
    <pivotField showAll="0"/>
    <pivotField showAll="0"/>
    <pivotField showAll="0"/>
    <pivotField showAll="0"/>
    <pivotField dataField="1" showAll="0"/>
    <pivotField showAll="0"/>
    <pivotField axis="axisRow" showAll="0">
      <items count="7">
        <item x="2"/>
        <item x="3"/>
        <item x="1"/>
        <item x="0"/>
        <item x="4"/>
        <item x="5"/>
        <item t="default"/>
      </items>
    </pivotField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2">
    <field x="11"/>
    <field x="4"/>
  </rowFields>
  <rowItems count="29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5"/>
    </i>
    <i>
      <x v="2"/>
    </i>
    <i r="1">
      <x/>
    </i>
    <i r="1">
      <x v="2"/>
    </i>
    <i r="1">
      <x v="3"/>
    </i>
    <i r="1">
      <x v="5"/>
    </i>
    <i>
      <x v="3"/>
    </i>
    <i r="1">
      <x/>
    </i>
    <i r="1">
      <x v="2"/>
    </i>
    <i r="1">
      <x v="3"/>
    </i>
    <i r="1">
      <x v="4"/>
    </i>
    <i r="1">
      <x v="5"/>
    </i>
    <i>
      <x v="4"/>
    </i>
    <i r="1">
      <x v="2"/>
    </i>
    <i>
      <x v="5"/>
    </i>
    <i r="1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Sales" fld="9" baseField="0" baseItem="0"/>
    <dataField name="Count of OrderID" fld="0" subtotal="count" baseField="0" baseItem="0"/>
  </dataFields>
  <formats count="2">
    <format dxfId="9">
      <pivotArea collapsedLevelsAreSubtotals="1" fieldPosition="0">
        <references count="1">
          <reference field="11" count="1">
            <x v="3"/>
          </reference>
        </references>
      </pivotArea>
    </format>
    <format dxfId="8">
      <pivotArea dataOnly="0" labelOnly="1" fieldPosition="0">
        <references count="1">
          <reference field="11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A7F9E9-3DE2-4EE1-AC8D-3AFC549CEE3F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Sum of NetSales" fld="9" baseField="0" baseItem="0"/>
  </dataFields>
  <formats count="2">
    <format dxfId="7">
      <pivotArea collapsedLevelsAreSubtotals="1" fieldPosition="0">
        <references count="1">
          <reference field="12" count="1">
            <x v="2"/>
          </reference>
        </references>
      </pivotArea>
    </format>
    <format dxfId="6">
      <pivotArea dataOnly="0" labelOnly="1" fieldPosition="0">
        <references count="1">
          <reference field="12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0AEA23-AE5D-4D22-9A17-89CFCA155483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1" firstHeaderRow="0" firstDataRow="1" firstDataCol="1"/>
  <pivotFields count="16">
    <pivotField showAll="0"/>
    <pivotField showAll="0"/>
    <pivotField showAll="0"/>
    <pivotField showAll="0"/>
    <pivotField axis="axisRow" showAll="0">
      <items count="8">
        <item x="1"/>
        <item x="5"/>
        <item x="0"/>
        <item x="3"/>
        <item x="4"/>
        <item x="2"/>
        <item x="6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GrossSales" fld="7" baseField="0" baseItem="0"/>
    <dataField name="Sum of NetSales" fld="9" baseField="0" baseItem="0"/>
    <dataField name="Average of Discount" fld="8" subtotal="average" baseField="4" baseItem="0"/>
    <dataField name="Sum of Revenue Retentation %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B09B2-B31F-412C-9D76-E988EFB137C4}">
  <dimension ref="A1:C11"/>
  <sheetViews>
    <sheetView workbookViewId="0">
      <selection sqref="A1:C1"/>
    </sheetView>
  </sheetViews>
  <sheetFormatPr defaultRowHeight="14.4" x14ac:dyDescent="0.3"/>
  <cols>
    <col min="1" max="1" width="12.5546875" bestFit="1" customWidth="1"/>
    <col min="2" max="2" width="14.77734375" bestFit="1" customWidth="1"/>
    <col min="3" max="3" width="14.88671875" bestFit="1" customWidth="1"/>
  </cols>
  <sheetData>
    <row r="1" spans="1:3" x14ac:dyDescent="0.3">
      <c r="A1" s="6" t="s">
        <v>107</v>
      </c>
      <c r="B1" s="6"/>
      <c r="C1" s="6"/>
    </row>
    <row r="3" spans="1:3" x14ac:dyDescent="0.3">
      <c r="A3" s="2" t="s">
        <v>98</v>
      </c>
      <c r="B3" t="s">
        <v>101</v>
      </c>
      <c r="C3" t="s">
        <v>106</v>
      </c>
    </row>
    <row r="4" spans="1:3" x14ac:dyDescent="0.3">
      <c r="A4" s="3" t="s">
        <v>24</v>
      </c>
      <c r="B4" s="7">
        <v>2218.6</v>
      </c>
      <c r="C4" s="7">
        <v>24</v>
      </c>
    </row>
    <row r="5" spans="1:3" x14ac:dyDescent="0.3">
      <c r="A5" s="3" t="s">
        <v>59</v>
      </c>
      <c r="B5" s="7">
        <v>284.5</v>
      </c>
      <c r="C5" s="7">
        <v>9</v>
      </c>
    </row>
    <row r="6" spans="1:3" x14ac:dyDescent="0.3">
      <c r="A6" s="4" t="s">
        <v>17</v>
      </c>
      <c r="B6" s="8">
        <v>3158.4</v>
      </c>
      <c r="C6" s="8">
        <v>43</v>
      </c>
    </row>
    <row r="7" spans="1:3" x14ac:dyDescent="0.3">
      <c r="A7" s="3" t="s">
        <v>42</v>
      </c>
      <c r="B7" s="7">
        <v>905.3</v>
      </c>
      <c r="C7" s="7">
        <v>14</v>
      </c>
    </row>
    <row r="8" spans="1:3" x14ac:dyDescent="0.3">
      <c r="A8" s="3" t="s">
        <v>49</v>
      </c>
      <c r="B8" s="7">
        <v>331.7</v>
      </c>
      <c r="C8" s="7">
        <v>11</v>
      </c>
    </row>
    <row r="9" spans="1:3" x14ac:dyDescent="0.3">
      <c r="A9" s="3" t="s">
        <v>30</v>
      </c>
      <c r="B9" s="7">
        <v>998.80000000000007</v>
      </c>
      <c r="C9" s="7">
        <v>11</v>
      </c>
    </row>
    <row r="10" spans="1:3" x14ac:dyDescent="0.3">
      <c r="A10" s="3" t="s">
        <v>99</v>
      </c>
      <c r="B10" s="7"/>
      <c r="C10" s="7"/>
    </row>
    <row r="11" spans="1:3" x14ac:dyDescent="0.3">
      <c r="A11" s="3" t="s">
        <v>100</v>
      </c>
      <c r="B11" s="7">
        <v>7897.3</v>
      </c>
      <c r="C11" s="7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707AF-4C8E-4CF1-A191-926FF07CD046}">
  <dimension ref="A1:F10"/>
  <sheetViews>
    <sheetView workbookViewId="0">
      <selection activeCell="F3" sqref="F3"/>
    </sheetView>
  </sheetViews>
  <sheetFormatPr defaultRowHeight="14.4" x14ac:dyDescent="0.3"/>
  <cols>
    <col min="1" max="1" width="12.5546875" bestFit="1" customWidth="1"/>
    <col min="2" max="2" width="14.77734375" bestFit="1" customWidth="1"/>
    <col min="3" max="3" width="16" bestFit="1" customWidth="1"/>
    <col min="4" max="4" width="15.44140625" bestFit="1" customWidth="1"/>
    <col min="5" max="5" width="14.88671875" bestFit="1" customWidth="1"/>
    <col min="6" max="6" width="21.44140625" bestFit="1" customWidth="1"/>
  </cols>
  <sheetData>
    <row r="1" spans="1:6" x14ac:dyDescent="0.3">
      <c r="A1" s="6" t="s">
        <v>105</v>
      </c>
      <c r="B1" s="6"/>
      <c r="C1" s="6"/>
    </row>
    <row r="3" spans="1:6" x14ac:dyDescent="0.3">
      <c r="A3" s="2" t="s">
        <v>98</v>
      </c>
      <c r="B3" t="s">
        <v>101</v>
      </c>
      <c r="C3" t="s">
        <v>104</v>
      </c>
      <c r="D3" t="s">
        <v>102</v>
      </c>
      <c r="E3" t="s">
        <v>106</v>
      </c>
      <c r="F3" t="s">
        <v>113</v>
      </c>
    </row>
    <row r="4" spans="1:6" x14ac:dyDescent="0.3">
      <c r="A4" s="3" t="s">
        <v>54</v>
      </c>
      <c r="B4" s="7">
        <v>1519.5</v>
      </c>
      <c r="C4" s="7">
        <v>3.8571428571428572</v>
      </c>
      <c r="D4" s="7">
        <v>7</v>
      </c>
      <c r="E4" s="7">
        <v>18</v>
      </c>
      <c r="F4" s="7">
        <v>84.416666666666671</v>
      </c>
    </row>
    <row r="5" spans="1:6" x14ac:dyDescent="0.3">
      <c r="A5" s="3" t="s">
        <v>37</v>
      </c>
      <c r="B5" s="7">
        <v>1208.2</v>
      </c>
      <c r="C5" s="7">
        <v>3.8</v>
      </c>
      <c r="D5" s="7">
        <v>5</v>
      </c>
      <c r="E5" s="7">
        <v>14</v>
      </c>
      <c r="F5" s="7">
        <v>86.3</v>
      </c>
    </row>
    <row r="6" spans="1:6" x14ac:dyDescent="0.3">
      <c r="A6" s="4" t="s">
        <v>31</v>
      </c>
      <c r="B6" s="8">
        <v>2478.3000000000002</v>
      </c>
      <c r="C6" s="8">
        <v>4.083333333333333</v>
      </c>
      <c r="D6" s="8">
        <v>12</v>
      </c>
      <c r="E6" s="8">
        <v>36</v>
      </c>
      <c r="F6" s="8">
        <v>68.841666666666669</v>
      </c>
    </row>
    <row r="7" spans="1:6" x14ac:dyDescent="0.3">
      <c r="A7" s="3" t="s">
        <v>50</v>
      </c>
      <c r="B7" s="7">
        <v>1459.1999999999998</v>
      </c>
      <c r="C7" s="7">
        <v>3.8571428571428572</v>
      </c>
      <c r="D7" s="7">
        <v>7</v>
      </c>
      <c r="E7" s="7">
        <v>22</v>
      </c>
      <c r="F7" s="7">
        <v>66.327272727272714</v>
      </c>
    </row>
    <row r="8" spans="1:6" x14ac:dyDescent="0.3">
      <c r="A8" s="3" t="s">
        <v>18</v>
      </c>
      <c r="B8" s="7">
        <v>1232.1000000000001</v>
      </c>
      <c r="C8" s="7">
        <v>4.1111111111111107</v>
      </c>
      <c r="D8" s="7">
        <v>9</v>
      </c>
      <c r="E8" s="7">
        <v>22</v>
      </c>
      <c r="F8" s="7">
        <v>56.004545454545458</v>
      </c>
    </row>
    <row r="9" spans="1:6" x14ac:dyDescent="0.3">
      <c r="A9" s="3" t="s">
        <v>99</v>
      </c>
      <c r="B9" s="7"/>
      <c r="C9" s="7"/>
      <c r="D9" s="7"/>
      <c r="E9" s="7"/>
      <c r="F9" s="7" t="e">
        <v>#DIV/0!</v>
      </c>
    </row>
    <row r="10" spans="1:6" x14ac:dyDescent="0.3">
      <c r="A10" s="3" t="s">
        <v>100</v>
      </c>
      <c r="B10" s="7">
        <v>7897.3</v>
      </c>
      <c r="C10" s="7">
        <v>3.9750000000000001</v>
      </c>
      <c r="D10" s="7">
        <v>40</v>
      </c>
      <c r="E10" s="7">
        <v>112</v>
      </c>
      <c r="F10" s="7">
        <v>70.511607142857144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2769D-12D3-414B-828B-B9DF86C3E286}">
  <dimension ref="A1:C32"/>
  <sheetViews>
    <sheetView tabSelected="1" workbookViewId="0">
      <selection activeCell="B7" sqref="B7"/>
    </sheetView>
  </sheetViews>
  <sheetFormatPr defaultRowHeight="14.4" x14ac:dyDescent="0.3"/>
  <cols>
    <col min="1" max="1" width="14.6640625" bestFit="1" customWidth="1"/>
    <col min="2" max="2" width="14.77734375" bestFit="1" customWidth="1"/>
    <col min="3" max="3" width="15.44140625" bestFit="1" customWidth="1"/>
  </cols>
  <sheetData>
    <row r="1" spans="1:3" x14ac:dyDescent="0.3">
      <c r="A1" s="6" t="s">
        <v>103</v>
      </c>
      <c r="B1" s="6"/>
      <c r="C1" s="6"/>
    </row>
    <row r="3" spans="1:3" x14ac:dyDescent="0.3">
      <c r="A3" s="2" t="s">
        <v>98</v>
      </c>
      <c r="B3" t="s">
        <v>101</v>
      </c>
      <c r="C3" t="s">
        <v>102</v>
      </c>
    </row>
    <row r="4" spans="1:3" x14ac:dyDescent="0.3">
      <c r="A4" s="3" t="s">
        <v>32</v>
      </c>
      <c r="B4" s="7">
        <v>1519.1999999999998</v>
      </c>
      <c r="C4" s="7">
        <v>9</v>
      </c>
    </row>
    <row r="5" spans="1:3" x14ac:dyDescent="0.3">
      <c r="A5" s="5" t="s">
        <v>24</v>
      </c>
      <c r="B5" s="7">
        <v>119.6</v>
      </c>
      <c r="C5" s="7">
        <v>1</v>
      </c>
    </row>
    <row r="6" spans="1:3" x14ac:dyDescent="0.3">
      <c r="A6" s="5" t="s">
        <v>59</v>
      </c>
      <c r="B6" s="7">
        <v>59.7</v>
      </c>
      <c r="C6" s="7">
        <v>1</v>
      </c>
    </row>
    <row r="7" spans="1:3" x14ac:dyDescent="0.3">
      <c r="A7" s="5" t="s">
        <v>17</v>
      </c>
      <c r="B7" s="7">
        <v>398.6</v>
      </c>
      <c r="C7" s="7">
        <v>3</v>
      </c>
    </row>
    <row r="8" spans="1:3" x14ac:dyDescent="0.3">
      <c r="A8" s="5" t="s">
        <v>42</v>
      </c>
      <c r="B8" s="7">
        <v>179.6</v>
      </c>
      <c r="C8" s="7">
        <v>2</v>
      </c>
    </row>
    <row r="9" spans="1:3" x14ac:dyDescent="0.3">
      <c r="A9" s="5" t="s">
        <v>49</v>
      </c>
      <c r="B9" s="7">
        <v>174.7</v>
      </c>
      <c r="C9" s="7">
        <v>1</v>
      </c>
    </row>
    <row r="10" spans="1:3" x14ac:dyDescent="0.3">
      <c r="A10" s="5" t="s">
        <v>30</v>
      </c>
      <c r="B10" s="7">
        <v>587</v>
      </c>
      <c r="C10" s="7">
        <v>1</v>
      </c>
    </row>
    <row r="11" spans="1:3" x14ac:dyDescent="0.3">
      <c r="A11" s="3" t="s">
        <v>38</v>
      </c>
      <c r="B11" s="7">
        <v>1892.4</v>
      </c>
      <c r="C11" s="7">
        <v>10</v>
      </c>
    </row>
    <row r="12" spans="1:3" x14ac:dyDescent="0.3">
      <c r="A12" s="5" t="s">
        <v>24</v>
      </c>
      <c r="B12" s="7">
        <v>558.5</v>
      </c>
      <c r="C12" s="7">
        <v>2</v>
      </c>
    </row>
    <row r="13" spans="1:3" x14ac:dyDescent="0.3">
      <c r="A13" s="5" t="s">
        <v>59</v>
      </c>
      <c r="B13" s="7">
        <v>224.8</v>
      </c>
      <c r="C13" s="7">
        <v>2</v>
      </c>
    </row>
    <row r="14" spans="1:3" x14ac:dyDescent="0.3">
      <c r="A14" s="5" t="s">
        <v>17</v>
      </c>
      <c r="B14" s="7">
        <v>916.9</v>
      </c>
      <c r="C14" s="7">
        <v>4</v>
      </c>
    </row>
    <row r="15" spans="1:3" x14ac:dyDescent="0.3">
      <c r="A15" s="5" t="s">
        <v>42</v>
      </c>
      <c r="B15" s="7">
        <v>12.5</v>
      </c>
      <c r="C15" s="7">
        <v>1</v>
      </c>
    </row>
    <row r="16" spans="1:3" x14ac:dyDescent="0.3">
      <c r="A16" s="5" t="s">
        <v>30</v>
      </c>
      <c r="B16" s="7">
        <v>179.7</v>
      </c>
      <c r="C16" s="7">
        <v>1</v>
      </c>
    </row>
    <row r="17" spans="1:3" x14ac:dyDescent="0.3">
      <c r="A17" s="3" t="s">
        <v>25</v>
      </c>
      <c r="B17" s="7">
        <v>1738.6000000000001</v>
      </c>
      <c r="C17" s="7">
        <v>7</v>
      </c>
    </row>
    <row r="18" spans="1:3" x14ac:dyDescent="0.3">
      <c r="A18" s="5" t="s">
        <v>24</v>
      </c>
      <c r="B18" s="7">
        <v>1093</v>
      </c>
      <c r="C18" s="7">
        <v>2</v>
      </c>
    </row>
    <row r="19" spans="1:3" x14ac:dyDescent="0.3">
      <c r="A19" s="5" t="s">
        <v>17</v>
      </c>
      <c r="B19" s="7">
        <v>198.6</v>
      </c>
      <c r="C19" s="7">
        <v>3</v>
      </c>
    </row>
    <row r="20" spans="1:3" x14ac:dyDescent="0.3">
      <c r="A20" s="5" t="s">
        <v>42</v>
      </c>
      <c r="B20" s="7">
        <v>444.5</v>
      </c>
      <c r="C20" s="7">
        <v>1</v>
      </c>
    </row>
    <row r="21" spans="1:3" x14ac:dyDescent="0.3">
      <c r="A21" s="5" t="s">
        <v>30</v>
      </c>
      <c r="B21" s="7">
        <v>2.5</v>
      </c>
      <c r="C21" s="7">
        <v>1</v>
      </c>
    </row>
    <row r="22" spans="1:3" x14ac:dyDescent="0.3">
      <c r="A22" s="4" t="s">
        <v>19</v>
      </c>
      <c r="B22" s="8">
        <v>2022.2</v>
      </c>
      <c r="C22" s="8">
        <v>12</v>
      </c>
    </row>
    <row r="23" spans="1:3" x14ac:dyDescent="0.3">
      <c r="A23" s="5" t="s">
        <v>24</v>
      </c>
      <c r="B23" s="7">
        <v>447.5</v>
      </c>
      <c r="C23" s="7">
        <v>2</v>
      </c>
    </row>
    <row r="24" spans="1:3" x14ac:dyDescent="0.3">
      <c r="A24" s="5" t="s">
        <v>17</v>
      </c>
      <c r="B24" s="7">
        <v>919.40000000000009</v>
      </c>
      <c r="C24" s="7">
        <v>5</v>
      </c>
    </row>
    <row r="25" spans="1:3" x14ac:dyDescent="0.3">
      <c r="A25" s="5" t="s">
        <v>42</v>
      </c>
      <c r="B25" s="7">
        <v>268.7</v>
      </c>
      <c r="C25" s="7">
        <v>2</v>
      </c>
    </row>
    <row r="26" spans="1:3" x14ac:dyDescent="0.3">
      <c r="A26" s="5" t="s">
        <v>49</v>
      </c>
      <c r="B26" s="7">
        <v>157</v>
      </c>
      <c r="C26" s="7">
        <v>2</v>
      </c>
    </row>
    <row r="27" spans="1:3" x14ac:dyDescent="0.3">
      <c r="A27" s="5" t="s">
        <v>30</v>
      </c>
      <c r="B27" s="7">
        <v>229.6</v>
      </c>
      <c r="C27" s="7">
        <v>1</v>
      </c>
    </row>
    <row r="28" spans="1:3" x14ac:dyDescent="0.3">
      <c r="A28" s="3" t="s">
        <v>55</v>
      </c>
      <c r="B28" s="7">
        <v>724.9</v>
      </c>
      <c r="C28" s="7">
        <v>2</v>
      </c>
    </row>
    <row r="29" spans="1:3" x14ac:dyDescent="0.3">
      <c r="A29" s="5" t="s">
        <v>17</v>
      </c>
      <c r="B29" s="7">
        <v>724.9</v>
      </c>
      <c r="C29" s="7">
        <v>2</v>
      </c>
    </row>
    <row r="30" spans="1:3" x14ac:dyDescent="0.3">
      <c r="A30" s="3" t="s">
        <v>99</v>
      </c>
      <c r="B30" s="7"/>
      <c r="C30" s="7"/>
    </row>
    <row r="31" spans="1:3" x14ac:dyDescent="0.3">
      <c r="A31" s="5" t="s">
        <v>99</v>
      </c>
      <c r="B31" s="7"/>
      <c r="C31" s="7"/>
    </row>
    <row r="32" spans="1:3" x14ac:dyDescent="0.3">
      <c r="A32" s="3" t="s">
        <v>100</v>
      </c>
      <c r="B32" s="7">
        <v>7897.2999999999984</v>
      </c>
      <c r="C32" s="7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5041-DBC2-4D88-B716-7DB43F29B6FE}">
  <dimension ref="A1:C9"/>
  <sheetViews>
    <sheetView workbookViewId="0">
      <selection sqref="A1:B1"/>
    </sheetView>
  </sheetViews>
  <sheetFormatPr defaultRowHeight="14.4" x14ac:dyDescent="0.3"/>
  <cols>
    <col min="1" max="1" width="12.5546875" bestFit="1" customWidth="1"/>
    <col min="2" max="2" width="15.44140625" bestFit="1" customWidth="1"/>
    <col min="3" max="3" width="14.77734375" bestFit="1" customWidth="1"/>
  </cols>
  <sheetData>
    <row r="1" spans="1:3" x14ac:dyDescent="0.3">
      <c r="A1" s="6" t="s">
        <v>108</v>
      </c>
      <c r="B1" s="6"/>
    </row>
    <row r="3" spans="1:3" x14ac:dyDescent="0.3">
      <c r="A3" s="2" t="s">
        <v>98</v>
      </c>
      <c r="B3" t="s">
        <v>102</v>
      </c>
      <c r="C3" t="s">
        <v>101</v>
      </c>
    </row>
    <row r="4" spans="1:3" x14ac:dyDescent="0.3">
      <c r="A4" s="3" t="s">
        <v>33</v>
      </c>
      <c r="B4" s="7">
        <v>9</v>
      </c>
      <c r="C4" s="7">
        <v>1977.8</v>
      </c>
    </row>
    <row r="5" spans="1:3" x14ac:dyDescent="0.3">
      <c r="A5" s="3" t="s">
        <v>20</v>
      </c>
      <c r="B5" s="7">
        <v>8</v>
      </c>
      <c r="C5" s="7">
        <v>915</v>
      </c>
    </row>
    <row r="6" spans="1:3" x14ac:dyDescent="0.3">
      <c r="A6" s="4" t="s">
        <v>26</v>
      </c>
      <c r="B6" s="8">
        <v>14</v>
      </c>
      <c r="C6" s="8">
        <v>2562.1000000000004</v>
      </c>
    </row>
    <row r="7" spans="1:3" x14ac:dyDescent="0.3">
      <c r="A7" s="3" t="s">
        <v>71</v>
      </c>
      <c r="B7" s="7">
        <v>9</v>
      </c>
      <c r="C7" s="7">
        <v>2442.3999999999996</v>
      </c>
    </row>
    <row r="8" spans="1:3" x14ac:dyDescent="0.3">
      <c r="A8" s="3" t="s">
        <v>99</v>
      </c>
      <c r="B8" s="7"/>
      <c r="C8" s="7"/>
    </row>
    <row r="9" spans="1:3" x14ac:dyDescent="0.3">
      <c r="A9" s="3" t="s">
        <v>100</v>
      </c>
      <c r="B9" s="7">
        <v>40</v>
      </c>
      <c r="C9" s="7">
        <v>7897.3000000000011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21B32-F549-4F2C-9D84-DAC9BA672380}">
  <dimension ref="A1:E11"/>
  <sheetViews>
    <sheetView workbookViewId="0"/>
  </sheetViews>
  <sheetFormatPr defaultRowHeight="14.4" x14ac:dyDescent="0.3"/>
  <cols>
    <col min="1" max="1" width="12.5546875" bestFit="1" customWidth="1"/>
    <col min="2" max="2" width="16.33203125" bestFit="1" customWidth="1"/>
    <col min="3" max="3" width="14.77734375" bestFit="1" customWidth="1"/>
    <col min="4" max="4" width="18.109375" bestFit="1" customWidth="1"/>
    <col min="5" max="5" width="27.44140625" bestFit="1" customWidth="1"/>
  </cols>
  <sheetData>
    <row r="1" spans="1:5" x14ac:dyDescent="0.3">
      <c r="A1" t="s">
        <v>109</v>
      </c>
    </row>
    <row r="3" spans="1:5" x14ac:dyDescent="0.3">
      <c r="A3" s="2" t="s">
        <v>98</v>
      </c>
      <c r="B3" t="s">
        <v>110</v>
      </c>
      <c r="C3" t="s">
        <v>101</v>
      </c>
      <c r="D3" t="s">
        <v>111</v>
      </c>
      <c r="E3" t="s">
        <v>112</v>
      </c>
    </row>
    <row r="4" spans="1:5" x14ac:dyDescent="0.3">
      <c r="A4" s="3" t="s">
        <v>24</v>
      </c>
      <c r="B4" s="7">
        <v>2258.6</v>
      </c>
      <c r="C4" s="7">
        <v>2218.6</v>
      </c>
      <c r="D4" s="7">
        <v>5.7142857142857144</v>
      </c>
      <c r="E4" s="7">
        <v>0.98228991410608346</v>
      </c>
    </row>
    <row r="5" spans="1:5" x14ac:dyDescent="0.3">
      <c r="A5" s="3" t="s">
        <v>59</v>
      </c>
      <c r="B5" s="7">
        <v>289.5</v>
      </c>
      <c r="C5" s="7">
        <v>284.5</v>
      </c>
      <c r="D5" s="7">
        <v>1.6666666666666667</v>
      </c>
      <c r="E5" s="7">
        <v>0.98272884283246975</v>
      </c>
    </row>
    <row r="6" spans="1:5" x14ac:dyDescent="0.3">
      <c r="A6" s="3" t="s">
        <v>17</v>
      </c>
      <c r="B6" s="7">
        <v>3263.4</v>
      </c>
      <c r="C6" s="7">
        <v>3158.4</v>
      </c>
      <c r="D6" s="7">
        <v>6.1764705882352944</v>
      </c>
      <c r="E6" s="7">
        <v>0.96782496782496785</v>
      </c>
    </row>
    <row r="7" spans="1:5" x14ac:dyDescent="0.3">
      <c r="A7" s="3" t="s">
        <v>42</v>
      </c>
      <c r="B7" s="7">
        <v>930.3</v>
      </c>
      <c r="C7" s="7">
        <v>905.3</v>
      </c>
      <c r="D7" s="7">
        <v>4.166666666666667</v>
      </c>
      <c r="E7" s="7">
        <v>0.97312694829624857</v>
      </c>
    </row>
    <row r="8" spans="1:5" x14ac:dyDescent="0.3">
      <c r="A8" s="3" t="s">
        <v>49</v>
      </c>
      <c r="B8" s="7">
        <v>366.7</v>
      </c>
      <c r="C8" s="7">
        <v>331.7</v>
      </c>
      <c r="D8" s="7">
        <v>11.666666666666666</v>
      </c>
      <c r="E8" s="7">
        <v>0.90455413144259611</v>
      </c>
    </row>
    <row r="9" spans="1:5" x14ac:dyDescent="0.3">
      <c r="A9" s="3" t="s">
        <v>30</v>
      </c>
      <c r="B9" s="7">
        <v>1028.8</v>
      </c>
      <c r="C9" s="7">
        <v>998.80000000000007</v>
      </c>
      <c r="D9" s="7">
        <v>7.5</v>
      </c>
      <c r="E9" s="7">
        <v>0.97083981337480574</v>
      </c>
    </row>
    <row r="10" spans="1:5" x14ac:dyDescent="0.3">
      <c r="A10" s="3" t="s">
        <v>99</v>
      </c>
      <c r="B10" s="7"/>
      <c r="C10" s="7"/>
      <c r="D10" s="7"/>
      <c r="E10" s="7" t="e">
        <v>#DIV/0!</v>
      </c>
    </row>
    <row r="11" spans="1:5" x14ac:dyDescent="0.3">
      <c r="A11" s="3" t="s">
        <v>100</v>
      </c>
      <c r="B11" s="7">
        <v>8137.2999999999993</v>
      </c>
      <c r="C11" s="7">
        <v>7897.2999999999993</v>
      </c>
      <c r="D11" s="7">
        <v>6</v>
      </c>
      <c r="E11" s="7">
        <v>0.97050618755606899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6BE33-98F7-4742-820C-83A7AC2101A3}">
  <dimension ref="A1:N41"/>
  <sheetViews>
    <sheetView workbookViewId="0">
      <selection sqref="A1:N104857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1">
        <v>45760</v>
      </c>
      <c r="C2" t="s">
        <v>15</v>
      </c>
      <c r="D2" t="s">
        <v>16</v>
      </c>
      <c r="E2" t="s">
        <v>17</v>
      </c>
      <c r="F2">
        <v>199</v>
      </c>
      <c r="G2">
        <v>1</v>
      </c>
      <c r="H2">
        <v>199</v>
      </c>
      <c r="I2">
        <v>5</v>
      </c>
      <c r="J2">
        <v>194</v>
      </c>
      <c r="K2" t="s">
        <v>18</v>
      </c>
      <c r="L2" t="s">
        <v>19</v>
      </c>
      <c r="M2" t="s">
        <v>20</v>
      </c>
      <c r="N2">
        <v>3</v>
      </c>
    </row>
    <row r="3" spans="1:14" x14ac:dyDescent="0.3">
      <c r="A3" t="s">
        <v>21</v>
      </c>
      <c r="B3" s="1">
        <v>45928</v>
      </c>
      <c r="C3" t="s">
        <v>22</v>
      </c>
      <c r="D3" t="s">
        <v>23</v>
      </c>
      <c r="E3" t="s">
        <v>24</v>
      </c>
      <c r="F3">
        <v>129</v>
      </c>
      <c r="G3">
        <v>4</v>
      </c>
      <c r="H3">
        <v>516</v>
      </c>
      <c r="I3">
        <v>15</v>
      </c>
      <c r="J3">
        <v>501</v>
      </c>
      <c r="K3" t="s">
        <v>18</v>
      </c>
      <c r="L3" t="s">
        <v>25</v>
      </c>
      <c r="M3" t="s">
        <v>26</v>
      </c>
      <c r="N3">
        <v>5</v>
      </c>
    </row>
    <row r="4" spans="1:14" x14ac:dyDescent="0.3">
      <c r="A4" t="s">
        <v>27</v>
      </c>
      <c r="B4" s="1">
        <v>45764</v>
      </c>
      <c r="C4" t="s">
        <v>28</v>
      </c>
      <c r="D4" t="s">
        <v>29</v>
      </c>
      <c r="E4" t="s">
        <v>30</v>
      </c>
      <c r="F4">
        <v>199</v>
      </c>
      <c r="G4">
        <v>3</v>
      </c>
      <c r="H4">
        <v>597</v>
      </c>
      <c r="I4">
        <v>10</v>
      </c>
      <c r="J4">
        <v>587</v>
      </c>
      <c r="K4" t="s">
        <v>31</v>
      </c>
      <c r="L4" t="s">
        <v>32</v>
      </c>
      <c r="M4" t="s">
        <v>33</v>
      </c>
      <c r="N4">
        <v>4</v>
      </c>
    </row>
    <row r="5" spans="1:14" x14ac:dyDescent="0.3">
      <c r="A5" t="s">
        <v>34</v>
      </c>
      <c r="B5" s="1">
        <v>45729</v>
      </c>
      <c r="C5" t="s">
        <v>35</v>
      </c>
      <c r="D5" t="s">
        <v>36</v>
      </c>
      <c r="E5" t="s">
        <v>17</v>
      </c>
      <c r="F5">
        <v>39.9</v>
      </c>
      <c r="G5">
        <v>3</v>
      </c>
      <c r="H5">
        <v>119.7</v>
      </c>
      <c r="I5">
        <v>10</v>
      </c>
      <c r="J5">
        <v>109.7</v>
      </c>
      <c r="K5" t="s">
        <v>37</v>
      </c>
      <c r="L5" t="s">
        <v>38</v>
      </c>
      <c r="M5" t="s">
        <v>33</v>
      </c>
      <c r="N5">
        <v>5</v>
      </c>
    </row>
    <row r="6" spans="1:14" x14ac:dyDescent="0.3">
      <c r="A6" t="s">
        <v>39</v>
      </c>
      <c r="B6" s="1">
        <v>45846</v>
      </c>
      <c r="C6" t="s">
        <v>40</v>
      </c>
      <c r="D6" t="s">
        <v>41</v>
      </c>
      <c r="E6" t="s">
        <v>42</v>
      </c>
      <c r="F6">
        <v>12.5</v>
      </c>
      <c r="G6">
        <v>1</v>
      </c>
      <c r="H6">
        <v>12.5</v>
      </c>
      <c r="I6">
        <v>0</v>
      </c>
      <c r="J6">
        <v>12.5</v>
      </c>
      <c r="K6" t="s">
        <v>31</v>
      </c>
      <c r="L6" t="s">
        <v>38</v>
      </c>
      <c r="M6" t="s">
        <v>20</v>
      </c>
      <c r="N6">
        <v>4</v>
      </c>
    </row>
    <row r="7" spans="1:14" x14ac:dyDescent="0.3">
      <c r="A7" t="s">
        <v>43</v>
      </c>
      <c r="B7" s="1">
        <v>45678</v>
      </c>
      <c r="C7" t="s">
        <v>44</v>
      </c>
      <c r="D7" t="s">
        <v>45</v>
      </c>
      <c r="E7" t="s">
        <v>42</v>
      </c>
      <c r="F7">
        <v>29.9</v>
      </c>
      <c r="G7">
        <v>3</v>
      </c>
      <c r="H7">
        <v>89.7</v>
      </c>
      <c r="I7">
        <v>10</v>
      </c>
      <c r="J7">
        <v>79.7</v>
      </c>
      <c r="K7" t="s">
        <v>18</v>
      </c>
      <c r="L7" t="s">
        <v>19</v>
      </c>
      <c r="M7" t="s">
        <v>20</v>
      </c>
      <c r="N7">
        <v>4</v>
      </c>
    </row>
    <row r="8" spans="1:14" x14ac:dyDescent="0.3">
      <c r="A8" t="s">
        <v>46</v>
      </c>
      <c r="B8" s="1">
        <v>45760</v>
      </c>
      <c r="C8" t="s">
        <v>47</v>
      </c>
      <c r="D8" t="s">
        <v>48</v>
      </c>
      <c r="E8" t="s">
        <v>49</v>
      </c>
      <c r="F8">
        <v>59.9</v>
      </c>
      <c r="G8">
        <v>3</v>
      </c>
      <c r="H8">
        <v>179.7</v>
      </c>
      <c r="I8">
        <v>5</v>
      </c>
      <c r="J8">
        <v>174.7</v>
      </c>
      <c r="K8" t="s">
        <v>50</v>
      </c>
      <c r="L8" t="s">
        <v>32</v>
      </c>
      <c r="M8" t="s">
        <v>33</v>
      </c>
      <c r="N8">
        <v>5</v>
      </c>
    </row>
    <row r="9" spans="1:14" x14ac:dyDescent="0.3">
      <c r="A9" t="s">
        <v>51</v>
      </c>
      <c r="B9" s="1">
        <v>45779</v>
      </c>
      <c r="C9" t="s">
        <v>52</v>
      </c>
      <c r="D9" t="s">
        <v>53</v>
      </c>
      <c r="E9" t="s">
        <v>17</v>
      </c>
      <c r="F9">
        <v>89.9</v>
      </c>
      <c r="G9">
        <v>1</v>
      </c>
      <c r="H9">
        <v>89.9</v>
      </c>
      <c r="I9">
        <v>10</v>
      </c>
      <c r="J9">
        <v>79.900000000000006</v>
      </c>
      <c r="K9" t="s">
        <v>54</v>
      </c>
      <c r="L9" t="s">
        <v>55</v>
      </c>
      <c r="M9" t="s">
        <v>33</v>
      </c>
      <c r="N9">
        <v>4</v>
      </c>
    </row>
    <row r="10" spans="1:14" x14ac:dyDescent="0.3">
      <c r="A10" t="s">
        <v>56</v>
      </c>
      <c r="B10" s="1">
        <v>45872</v>
      </c>
      <c r="C10" t="s">
        <v>57</v>
      </c>
      <c r="D10" t="s">
        <v>58</v>
      </c>
      <c r="E10" t="s">
        <v>59</v>
      </c>
      <c r="F10">
        <v>19.899999999999999</v>
      </c>
      <c r="G10">
        <v>3</v>
      </c>
      <c r="H10">
        <v>59.7</v>
      </c>
      <c r="I10">
        <v>0</v>
      </c>
      <c r="J10">
        <v>59.7</v>
      </c>
      <c r="K10" t="s">
        <v>18</v>
      </c>
      <c r="L10" t="s">
        <v>32</v>
      </c>
      <c r="M10" t="s">
        <v>26</v>
      </c>
      <c r="N10">
        <v>4</v>
      </c>
    </row>
    <row r="11" spans="1:14" x14ac:dyDescent="0.3">
      <c r="A11" t="s">
        <v>60</v>
      </c>
      <c r="B11" s="1">
        <v>45745</v>
      </c>
      <c r="C11" t="s">
        <v>61</v>
      </c>
      <c r="D11" t="s">
        <v>62</v>
      </c>
      <c r="E11" t="s">
        <v>24</v>
      </c>
      <c r="F11">
        <v>9.9</v>
      </c>
      <c r="G11">
        <v>5</v>
      </c>
      <c r="H11">
        <v>49.5</v>
      </c>
      <c r="I11">
        <v>0</v>
      </c>
      <c r="J11">
        <v>49.5</v>
      </c>
      <c r="K11" t="s">
        <v>31</v>
      </c>
      <c r="L11" t="s">
        <v>19</v>
      </c>
      <c r="M11" t="s">
        <v>26</v>
      </c>
      <c r="N11">
        <v>5</v>
      </c>
    </row>
    <row r="12" spans="1:14" x14ac:dyDescent="0.3">
      <c r="A12" t="s">
        <v>63</v>
      </c>
      <c r="B12" s="1">
        <v>45757</v>
      </c>
      <c r="C12" t="s">
        <v>64</v>
      </c>
      <c r="D12" t="s">
        <v>65</v>
      </c>
      <c r="E12" t="s">
        <v>17</v>
      </c>
      <c r="F12">
        <v>29.9</v>
      </c>
      <c r="G12">
        <v>2</v>
      </c>
      <c r="H12">
        <v>59.8</v>
      </c>
      <c r="I12">
        <v>15</v>
      </c>
      <c r="J12">
        <v>44.8</v>
      </c>
      <c r="K12" t="s">
        <v>54</v>
      </c>
      <c r="L12" t="s">
        <v>19</v>
      </c>
      <c r="M12" t="s">
        <v>33</v>
      </c>
      <c r="N12">
        <v>3</v>
      </c>
    </row>
    <row r="13" spans="1:14" x14ac:dyDescent="0.3">
      <c r="A13" t="s">
        <v>66</v>
      </c>
      <c r="B13" s="1">
        <v>45809</v>
      </c>
      <c r="C13" t="s">
        <v>67</v>
      </c>
      <c r="D13" t="s">
        <v>68</v>
      </c>
      <c r="E13" t="s">
        <v>17</v>
      </c>
      <c r="F13">
        <v>12.5</v>
      </c>
      <c r="G13">
        <v>2</v>
      </c>
      <c r="H13">
        <v>25</v>
      </c>
      <c r="I13">
        <v>5</v>
      </c>
      <c r="J13">
        <v>20</v>
      </c>
      <c r="K13" t="s">
        <v>31</v>
      </c>
      <c r="L13" t="s">
        <v>32</v>
      </c>
      <c r="M13" t="s">
        <v>26</v>
      </c>
      <c r="N13">
        <v>4</v>
      </c>
    </row>
    <row r="14" spans="1:14" x14ac:dyDescent="0.3">
      <c r="A14" t="s">
        <v>69</v>
      </c>
      <c r="B14" s="1">
        <v>45788</v>
      </c>
      <c r="C14" t="s">
        <v>15</v>
      </c>
      <c r="D14" t="s">
        <v>16</v>
      </c>
      <c r="E14" t="s">
        <v>17</v>
      </c>
      <c r="F14">
        <v>89.9</v>
      </c>
      <c r="G14">
        <v>1</v>
      </c>
      <c r="H14">
        <v>89.9</v>
      </c>
      <c r="I14">
        <v>0</v>
      </c>
      <c r="J14">
        <v>89.9</v>
      </c>
      <c r="K14" t="s">
        <v>31</v>
      </c>
      <c r="L14" t="s">
        <v>19</v>
      </c>
      <c r="M14" t="s">
        <v>26</v>
      </c>
      <c r="N14">
        <v>4</v>
      </c>
    </row>
    <row r="15" spans="1:14" x14ac:dyDescent="0.3">
      <c r="A15" t="s">
        <v>70</v>
      </c>
      <c r="B15" s="1">
        <v>45807</v>
      </c>
      <c r="C15" t="s">
        <v>22</v>
      </c>
      <c r="D15" t="s">
        <v>23</v>
      </c>
      <c r="E15" t="s">
        <v>24</v>
      </c>
      <c r="F15">
        <v>29.9</v>
      </c>
      <c r="G15">
        <v>4</v>
      </c>
      <c r="H15">
        <v>119.6</v>
      </c>
      <c r="I15">
        <v>0</v>
      </c>
      <c r="J15">
        <v>119.6</v>
      </c>
      <c r="K15" t="s">
        <v>50</v>
      </c>
      <c r="L15" t="s">
        <v>32</v>
      </c>
      <c r="M15" t="s">
        <v>71</v>
      </c>
      <c r="N15">
        <v>3</v>
      </c>
    </row>
    <row r="16" spans="1:14" x14ac:dyDescent="0.3">
      <c r="A16" t="s">
        <v>72</v>
      </c>
      <c r="B16" s="1">
        <v>45915</v>
      </c>
      <c r="C16" t="s">
        <v>28</v>
      </c>
      <c r="D16" t="s">
        <v>29</v>
      </c>
      <c r="E16" t="s">
        <v>30</v>
      </c>
      <c r="F16">
        <v>12.5</v>
      </c>
      <c r="G16">
        <v>1</v>
      </c>
      <c r="H16">
        <v>12.5</v>
      </c>
      <c r="I16">
        <v>10</v>
      </c>
      <c r="J16">
        <v>2.5</v>
      </c>
      <c r="K16" t="s">
        <v>54</v>
      </c>
      <c r="L16" t="s">
        <v>25</v>
      </c>
      <c r="M16" t="s">
        <v>26</v>
      </c>
      <c r="N16">
        <v>4</v>
      </c>
    </row>
    <row r="17" spans="1:14" x14ac:dyDescent="0.3">
      <c r="A17" t="s">
        <v>73</v>
      </c>
      <c r="B17" s="1">
        <v>45951</v>
      </c>
      <c r="C17" t="s">
        <v>35</v>
      </c>
      <c r="D17" t="s">
        <v>36</v>
      </c>
      <c r="E17" t="s">
        <v>17</v>
      </c>
      <c r="F17">
        <v>49.9</v>
      </c>
      <c r="G17">
        <v>4</v>
      </c>
      <c r="H17">
        <v>199.6</v>
      </c>
      <c r="I17">
        <v>15</v>
      </c>
      <c r="J17">
        <v>184.6</v>
      </c>
      <c r="K17" t="s">
        <v>54</v>
      </c>
      <c r="L17" t="s">
        <v>32</v>
      </c>
      <c r="M17" t="s">
        <v>20</v>
      </c>
      <c r="N17">
        <v>5</v>
      </c>
    </row>
    <row r="18" spans="1:14" x14ac:dyDescent="0.3">
      <c r="A18" t="s">
        <v>74</v>
      </c>
      <c r="B18" s="1">
        <v>45849</v>
      </c>
      <c r="C18" t="s">
        <v>40</v>
      </c>
      <c r="D18" t="s">
        <v>41</v>
      </c>
      <c r="E18" t="s">
        <v>42</v>
      </c>
      <c r="F18">
        <v>49.9</v>
      </c>
      <c r="G18">
        <v>2</v>
      </c>
      <c r="H18">
        <v>99.8</v>
      </c>
      <c r="I18">
        <v>0</v>
      </c>
      <c r="J18">
        <v>99.8</v>
      </c>
      <c r="K18" t="s">
        <v>50</v>
      </c>
      <c r="L18" t="s">
        <v>32</v>
      </c>
      <c r="M18" t="s">
        <v>26</v>
      </c>
      <c r="N18">
        <v>4</v>
      </c>
    </row>
    <row r="19" spans="1:14" x14ac:dyDescent="0.3">
      <c r="A19" t="s">
        <v>75</v>
      </c>
      <c r="B19" s="1">
        <v>45934</v>
      </c>
      <c r="C19" t="s">
        <v>44</v>
      </c>
      <c r="D19" t="s">
        <v>45</v>
      </c>
      <c r="E19" t="s">
        <v>42</v>
      </c>
      <c r="F19">
        <v>199</v>
      </c>
      <c r="G19">
        <v>1</v>
      </c>
      <c r="H19">
        <v>199</v>
      </c>
      <c r="I19">
        <v>10</v>
      </c>
      <c r="J19">
        <v>189</v>
      </c>
      <c r="K19" t="s">
        <v>18</v>
      </c>
      <c r="L19" t="s">
        <v>19</v>
      </c>
      <c r="M19" t="s">
        <v>26</v>
      </c>
      <c r="N19">
        <v>4</v>
      </c>
    </row>
    <row r="20" spans="1:14" x14ac:dyDescent="0.3">
      <c r="A20" t="s">
        <v>76</v>
      </c>
      <c r="B20" s="1">
        <v>45818</v>
      </c>
      <c r="C20" t="s">
        <v>47</v>
      </c>
      <c r="D20" t="s">
        <v>48</v>
      </c>
      <c r="E20" t="s">
        <v>49</v>
      </c>
      <c r="F20">
        <v>29.9</v>
      </c>
      <c r="G20">
        <v>5</v>
      </c>
      <c r="H20">
        <v>149.5</v>
      </c>
      <c r="I20">
        <v>15</v>
      </c>
      <c r="J20">
        <v>134.5</v>
      </c>
      <c r="K20" t="s">
        <v>31</v>
      </c>
      <c r="L20" t="s">
        <v>19</v>
      </c>
      <c r="M20" t="s">
        <v>33</v>
      </c>
      <c r="N20">
        <v>4</v>
      </c>
    </row>
    <row r="21" spans="1:14" x14ac:dyDescent="0.3">
      <c r="A21" t="s">
        <v>77</v>
      </c>
      <c r="B21" s="1">
        <v>45679</v>
      </c>
      <c r="C21" t="s">
        <v>52</v>
      </c>
      <c r="D21" t="s">
        <v>53</v>
      </c>
      <c r="E21" t="s">
        <v>17</v>
      </c>
      <c r="F21">
        <v>49.9</v>
      </c>
      <c r="G21">
        <v>3</v>
      </c>
      <c r="H21">
        <v>149.69999999999999</v>
      </c>
      <c r="I21">
        <v>5</v>
      </c>
      <c r="J21">
        <v>144.69999999999999</v>
      </c>
      <c r="K21" t="s">
        <v>37</v>
      </c>
      <c r="L21" t="s">
        <v>38</v>
      </c>
      <c r="M21" t="s">
        <v>20</v>
      </c>
      <c r="N21">
        <v>3</v>
      </c>
    </row>
    <row r="22" spans="1:14" x14ac:dyDescent="0.3">
      <c r="A22" t="s">
        <v>78</v>
      </c>
      <c r="B22" s="1">
        <v>45910</v>
      </c>
      <c r="C22" t="s">
        <v>57</v>
      </c>
      <c r="D22" t="s">
        <v>58</v>
      </c>
      <c r="E22" t="s">
        <v>59</v>
      </c>
      <c r="F22">
        <v>12.5</v>
      </c>
      <c r="G22">
        <v>4</v>
      </c>
      <c r="H22">
        <v>50</v>
      </c>
      <c r="I22">
        <v>5</v>
      </c>
      <c r="J22">
        <v>45</v>
      </c>
      <c r="K22" t="s">
        <v>31</v>
      </c>
      <c r="L22" t="s">
        <v>38</v>
      </c>
      <c r="M22" t="s">
        <v>26</v>
      </c>
      <c r="N22">
        <v>4</v>
      </c>
    </row>
    <row r="23" spans="1:14" x14ac:dyDescent="0.3">
      <c r="A23" t="s">
        <v>79</v>
      </c>
      <c r="B23" s="1">
        <v>45893</v>
      </c>
      <c r="C23" t="s">
        <v>61</v>
      </c>
      <c r="D23" t="s">
        <v>62</v>
      </c>
      <c r="E23" t="s">
        <v>24</v>
      </c>
      <c r="F23">
        <v>199</v>
      </c>
      <c r="G23">
        <v>3</v>
      </c>
      <c r="H23">
        <v>597</v>
      </c>
      <c r="I23">
        <v>5</v>
      </c>
      <c r="J23">
        <v>592</v>
      </c>
      <c r="K23" t="s">
        <v>31</v>
      </c>
      <c r="L23" t="s">
        <v>25</v>
      </c>
      <c r="M23" t="s">
        <v>26</v>
      </c>
      <c r="N23">
        <v>4</v>
      </c>
    </row>
    <row r="24" spans="1:14" x14ac:dyDescent="0.3">
      <c r="A24" t="s">
        <v>80</v>
      </c>
      <c r="B24" s="1">
        <v>45706</v>
      </c>
      <c r="C24" t="s">
        <v>64</v>
      </c>
      <c r="D24" t="s">
        <v>65</v>
      </c>
      <c r="E24" t="s">
        <v>17</v>
      </c>
      <c r="F24">
        <v>12.5</v>
      </c>
      <c r="G24">
        <v>3</v>
      </c>
      <c r="H24">
        <v>37.5</v>
      </c>
      <c r="I24">
        <v>5</v>
      </c>
      <c r="J24">
        <v>32.5</v>
      </c>
      <c r="K24" t="s">
        <v>18</v>
      </c>
      <c r="L24" t="s">
        <v>38</v>
      </c>
      <c r="M24" t="s">
        <v>71</v>
      </c>
      <c r="N24">
        <v>5</v>
      </c>
    </row>
    <row r="25" spans="1:14" x14ac:dyDescent="0.3">
      <c r="A25" t="s">
        <v>81</v>
      </c>
      <c r="B25" s="1">
        <v>45716</v>
      </c>
      <c r="C25" t="s">
        <v>67</v>
      </c>
      <c r="D25" t="s">
        <v>68</v>
      </c>
      <c r="E25" t="s">
        <v>17</v>
      </c>
      <c r="F25">
        <v>199</v>
      </c>
      <c r="G25">
        <v>1</v>
      </c>
      <c r="H25">
        <v>199</v>
      </c>
      <c r="I25">
        <v>5</v>
      </c>
      <c r="J25">
        <v>194</v>
      </c>
      <c r="K25" t="s">
        <v>31</v>
      </c>
      <c r="L25" t="s">
        <v>32</v>
      </c>
      <c r="M25" t="s">
        <v>26</v>
      </c>
      <c r="N25">
        <v>4</v>
      </c>
    </row>
    <row r="26" spans="1:14" x14ac:dyDescent="0.3">
      <c r="A26" t="s">
        <v>82</v>
      </c>
      <c r="B26" s="1">
        <v>45827</v>
      </c>
      <c r="C26" t="s">
        <v>15</v>
      </c>
      <c r="D26" t="s">
        <v>16</v>
      </c>
      <c r="E26" t="s">
        <v>17</v>
      </c>
      <c r="F26">
        <v>29.9</v>
      </c>
      <c r="G26">
        <v>3</v>
      </c>
      <c r="H26">
        <v>89.7</v>
      </c>
      <c r="I26">
        <v>15</v>
      </c>
      <c r="J26">
        <v>74.7</v>
      </c>
      <c r="K26" t="s">
        <v>50</v>
      </c>
      <c r="L26" t="s">
        <v>19</v>
      </c>
      <c r="M26" t="s">
        <v>26</v>
      </c>
      <c r="N26">
        <v>4</v>
      </c>
    </row>
    <row r="27" spans="1:14" x14ac:dyDescent="0.3">
      <c r="A27" t="s">
        <v>83</v>
      </c>
      <c r="B27" s="1">
        <v>45845</v>
      </c>
      <c r="C27" t="s">
        <v>22</v>
      </c>
      <c r="D27" t="s">
        <v>23</v>
      </c>
      <c r="E27" t="s">
        <v>24</v>
      </c>
      <c r="F27">
        <v>89.9</v>
      </c>
      <c r="G27">
        <v>5</v>
      </c>
      <c r="H27">
        <v>449.5</v>
      </c>
      <c r="I27">
        <v>15</v>
      </c>
      <c r="J27">
        <v>434.5</v>
      </c>
      <c r="K27" t="s">
        <v>50</v>
      </c>
      <c r="L27" t="s">
        <v>38</v>
      </c>
      <c r="M27" t="s">
        <v>71</v>
      </c>
      <c r="N27">
        <v>4</v>
      </c>
    </row>
    <row r="28" spans="1:14" x14ac:dyDescent="0.3">
      <c r="A28" t="s">
        <v>84</v>
      </c>
      <c r="B28" s="1">
        <v>45928</v>
      </c>
      <c r="C28" t="s">
        <v>28</v>
      </c>
      <c r="D28" t="s">
        <v>29</v>
      </c>
      <c r="E28" t="s">
        <v>30</v>
      </c>
      <c r="F28">
        <v>59.9</v>
      </c>
      <c r="G28">
        <v>3</v>
      </c>
      <c r="H28">
        <v>179.7</v>
      </c>
      <c r="I28">
        <v>0</v>
      </c>
      <c r="J28">
        <v>179.7</v>
      </c>
      <c r="K28" t="s">
        <v>54</v>
      </c>
      <c r="L28" t="s">
        <v>38</v>
      </c>
      <c r="M28" t="s">
        <v>33</v>
      </c>
      <c r="N28">
        <v>4</v>
      </c>
    </row>
    <row r="29" spans="1:14" x14ac:dyDescent="0.3">
      <c r="A29" t="s">
        <v>85</v>
      </c>
      <c r="B29" s="1">
        <v>45847</v>
      </c>
      <c r="C29" t="s">
        <v>35</v>
      </c>
      <c r="D29" t="s">
        <v>36</v>
      </c>
      <c r="E29" t="s">
        <v>17</v>
      </c>
      <c r="F29">
        <v>129</v>
      </c>
      <c r="G29">
        <v>1</v>
      </c>
      <c r="H29">
        <v>129</v>
      </c>
      <c r="I29">
        <v>0</v>
      </c>
      <c r="J29">
        <v>129</v>
      </c>
      <c r="K29" t="s">
        <v>37</v>
      </c>
      <c r="L29" t="s">
        <v>25</v>
      </c>
      <c r="M29" t="s">
        <v>26</v>
      </c>
      <c r="N29">
        <v>3</v>
      </c>
    </row>
    <row r="30" spans="1:14" x14ac:dyDescent="0.3">
      <c r="A30" t="s">
        <v>86</v>
      </c>
      <c r="B30" s="1">
        <v>45832</v>
      </c>
      <c r="C30" t="s">
        <v>40</v>
      </c>
      <c r="D30" t="s">
        <v>41</v>
      </c>
      <c r="E30" t="s">
        <v>42</v>
      </c>
      <c r="F30">
        <v>89.9</v>
      </c>
      <c r="G30">
        <v>5</v>
      </c>
      <c r="H30">
        <v>449.5</v>
      </c>
      <c r="I30">
        <v>5</v>
      </c>
      <c r="J30">
        <v>444.5</v>
      </c>
      <c r="K30" t="s">
        <v>31</v>
      </c>
      <c r="L30" t="s">
        <v>25</v>
      </c>
      <c r="M30" t="s">
        <v>71</v>
      </c>
      <c r="N30">
        <v>5</v>
      </c>
    </row>
    <row r="31" spans="1:14" x14ac:dyDescent="0.3">
      <c r="A31" t="s">
        <v>87</v>
      </c>
      <c r="B31" s="1">
        <v>45708</v>
      </c>
      <c r="C31" t="s">
        <v>44</v>
      </c>
      <c r="D31" t="s">
        <v>45</v>
      </c>
      <c r="E31" t="s">
        <v>42</v>
      </c>
      <c r="F31">
        <v>39.9</v>
      </c>
      <c r="G31">
        <v>2</v>
      </c>
      <c r="H31">
        <v>79.8</v>
      </c>
      <c r="I31">
        <v>0</v>
      </c>
      <c r="J31">
        <v>79.8</v>
      </c>
      <c r="K31" t="s">
        <v>31</v>
      </c>
      <c r="L31" t="s">
        <v>32</v>
      </c>
      <c r="M31" t="s">
        <v>20</v>
      </c>
      <c r="N31">
        <v>3</v>
      </c>
    </row>
    <row r="32" spans="1:14" x14ac:dyDescent="0.3">
      <c r="A32" t="s">
        <v>88</v>
      </c>
      <c r="B32" s="1">
        <v>45712</v>
      </c>
      <c r="C32" t="s">
        <v>47</v>
      </c>
      <c r="D32" t="s">
        <v>48</v>
      </c>
      <c r="E32" t="s">
        <v>49</v>
      </c>
      <c r="F32">
        <v>12.5</v>
      </c>
      <c r="G32">
        <v>3</v>
      </c>
      <c r="H32">
        <v>37.5</v>
      </c>
      <c r="I32">
        <v>15</v>
      </c>
      <c r="J32">
        <v>22.5</v>
      </c>
      <c r="K32" t="s">
        <v>18</v>
      </c>
      <c r="L32" t="s">
        <v>19</v>
      </c>
      <c r="M32" t="s">
        <v>33</v>
      </c>
      <c r="N32">
        <v>4</v>
      </c>
    </row>
    <row r="33" spans="1:14" x14ac:dyDescent="0.3">
      <c r="A33" t="s">
        <v>89</v>
      </c>
      <c r="B33" s="1">
        <v>45901</v>
      </c>
      <c r="C33" t="s">
        <v>52</v>
      </c>
      <c r="D33" t="s">
        <v>53</v>
      </c>
      <c r="E33" t="s">
        <v>17</v>
      </c>
      <c r="F33">
        <v>39.9</v>
      </c>
      <c r="G33">
        <v>1</v>
      </c>
      <c r="H33">
        <v>39.9</v>
      </c>
      <c r="I33">
        <v>0</v>
      </c>
      <c r="J33">
        <v>39.9</v>
      </c>
      <c r="K33" t="s">
        <v>50</v>
      </c>
      <c r="L33" t="s">
        <v>25</v>
      </c>
      <c r="M33" t="s">
        <v>20</v>
      </c>
      <c r="N33">
        <v>4</v>
      </c>
    </row>
    <row r="34" spans="1:14" x14ac:dyDescent="0.3">
      <c r="A34" t="s">
        <v>90</v>
      </c>
      <c r="B34" s="1">
        <v>45788</v>
      </c>
      <c r="C34" t="s">
        <v>57</v>
      </c>
      <c r="D34" t="s">
        <v>58</v>
      </c>
      <c r="E34" t="s">
        <v>59</v>
      </c>
      <c r="F34">
        <v>89.9</v>
      </c>
      <c r="G34">
        <v>2</v>
      </c>
      <c r="H34">
        <v>179.8</v>
      </c>
      <c r="I34">
        <v>0</v>
      </c>
      <c r="J34">
        <v>179.8</v>
      </c>
      <c r="K34" t="s">
        <v>37</v>
      </c>
      <c r="L34" t="s">
        <v>38</v>
      </c>
      <c r="M34" t="s">
        <v>20</v>
      </c>
      <c r="N34">
        <v>4</v>
      </c>
    </row>
    <row r="35" spans="1:14" x14ac:dyDescent="0.3">
      <c r="A35" t="s">
        <v>91</v>
      </c>
      <c r="B35" s="1">
        <v>45792</v>
      </c>
      <c r="C35" t="s">
        <v>61</v>
      </c>
      <c r="D35" t="s">
        <v>62</v>
      </c>
      <c r="E35" t="s">
        <v>24</v>
      </c>
      <c r="F35">
        <v>199</v>
      </c>
      <c r="G35">
        <v>2</v>
      </c>
      <c r="H35">
        <v>398</v>
      </c>
      <c r="I35">
        <v>0</v>
      </c>
      <c r="J35">
        <v>398</v>
      </c>
      <c r="K35" t="s">
        <v>54</v>
      </c>
      <c r="L35" t="s">
        <v>19</v>
      </c>
      <c r="M35" t="s">
        <v>71</v>
      </c>
      <c r="N35">
        <v>4</v>
      </c>
    </row>
    <row r="36" spans="1:14" x14ac:dyDescent="0.3">
      <c r="A36" t="s">
        <v>92</v>
      </c>
      <c r="B36" s="1">
        <v>45678</v>
      </c>
      <c r="C36" t="s">
        <v>64</v>
      </c>
      <c r="D36" t="s">
        <v>65</v>
      </c>
      <c r="E36" t="s">
        <v>17</v>
      </c>
      <c r="F36">
        <v>129</v>
      </c>
      <c r="G36">
        <v>4</v>
      </c>
      <c r="H36">
        <v>516</v>
      </c>
      <c r="I36">
        <v>0</v>
      </c>
      <c r="J36">
        <v>516</v>
      </c>
      <c r="K36" t="s">
        <v>50</v>
      </c>
      <c r="L36" t="s">
        <v>19</v>
      </c>
      <c r="M36" t="s">
        <v>26</v>
      </c>
      <c r="N36">
        <v>3</v>
      </c>
    </row>
    <row r="37" spans="1:14" x14ac:dyDescent="0.3">
      <c r="A37" t="s">
        <v>93</v>
      </c>
      <c r="B37" s="1">
        <v>45824</v>
      </c>
      <c r="C37" t="s">
        <v>67</v>
      </c>
      <c r="D37" t="s">
        <v>68</v>
      </c>
      <c r="E37" t="s">
        <v>17</v>
      </c>
      <c r="F37">
        <v>129</v>
      </c>
      <c r="G37">
        <v>5</v>
      </c>
      <c r="H37">
        <v>645</v>
      </c>
      <c r="I37">
        <v>15</v>
      </c>
      <c r="J37">
        <v>630</v>
      </c>
      <c r="K37" t="s">
        <v>54</v>
      </c>
      <c r="L37" t="s">
        <v>38</v>
      </c>
      <c r="M37" t="s">
        <v>71</v>
      </c>
      <c r="N37">
        <v>3</v>
      </c>
    </row>
    <row r="38" spans="1:14" x14ac:dyDescent="0.3">
      <c r="A38" t="s">
        <v>94</v>
      </c>
      <c r="B38" s="1">
        <v>45931</v>
      </c>
      <c r="C38" t="s">
        <v>15</v>
      </c>
      <c r="D38" t="s">
        <v>16</v>
      </c>
      <c r="E38" t="s">
        <v>17</v>
      </c>
      <c r="F38">
        <v>9.9</v>
      </c>
      <c r="G38">
        <v>3</v>
      </c>
      <c r="H38">
        <v>29.7</v>
      </c>
      <c r="I38">
        <v>0</v>
      </c>
      <c r="J38">
        <v>29.7</v>
      </c>
      <c r="K38" t="s">
        <v>18</v>
      </c>
      <c r="L38" t="s">
        <v>25</v>
      </c>
      <c r="M38" t="s">
        <v>71</v>
      </c>
      <c r="N38">
        <v>4</v>
      </c>
    </row>
    <row r="39" spans="1:14" x14ac:dyDescent="0.3">
      <c r="A39" t="s">
        <v>95</v>
      </c>
      <c r="B39" s="1">
        <v>45746</v>
      </c>
      <c r="C39" t="s">
        <v>22</v>
      </c>
      <c r="D39" t="s">
        <v>23</v>
      </c>
      <c r="E39" t="s">
        <v>24</v>
      </c>
      <c r="F39">
        <v>129</v>
      </c>
      <c r="G39">
        <v>1</v>
      </c>
      <c r="H39">
        <v>129</v>
      </c>
      <c r="I39">
        <v>5</v>
      </c>
      <c r="J39">
        <v>124</v>
      </c>
      <c r="K39" t="s">
        <v>18</v>
      </c>
      <c r="L39" t="s">
        <v>38</v>
      </c>
      <c r="M39" t="s">
        <v>71</v>
      </c>
      <c r="N39">
        <v>4</v>
      </c>
    </row>
    <row r="40" spans="1:14" x14ac:dyDescent="0.3">
      <c r="A40" t="s">
        <v>96</v>
      </c>
      <c r="B40" s="1">
        <v>45671</v>
      </c>
      <c r="C40" t="s">
        <v>28</v>
      </c>
      <c r="D40" t="s">
        <v>29</v>
      </c>
      <c r="E40" t="s">
        <v>30</v>
      </c>
      <c r="F40">
        <v>59.9</v>
      </c>
      <c r="G40">
        <v>4</v>
      </c>
      <c r="H40">
        <v>239.6</v>
      </c>
      <c r="I40">
        <v>10</v>
      </c>
      <c r="J40">
        <v>229.6</v>
      </c>
      <c r="K40" t="s">
        <v>31</v>
      </c>
      <c r="L40" t="s">
        <v>19</v>
      </c>
      <c r="M40" t="s">
        <v>71</v>
      </c>
      <c r="N40">
        <v>4</v>
      </c>
    </row>
    <row r="41" spans="1:14" x14ac:dyDescent="0.3">
      <c r="A41" t="s">
        <v>97</v>
      </c>
      <c r="B41" s="1">
        <v>45899</v>
      </c>
      <c r="C41" t="s">
        <v>35</v>
      </c>
      <c r="D41" t="s">
        <v>36</v>
      </c>
      <c r="E41" t="s">
        <v>17</v>
      </c>
      <c r="F41">
        <v>129</v>
      </c>
      <c r="G41">
        <v>5</v>
      </c>
      <c r="H41">
        <v>645</v>
      </c>
      <c r="I41">
        <v>0</v>
      </c>
      <c r="J41">
        <v>645</v>
      </c>
      <c r="K41" t="s">
        <v>37</v>
      </c>
      <c r="L41" t="s">
        <v>55</v>
      </c>
      <c r="M41" t="s">
        <v>33</v>
      </c>
      <c r="N4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by Category</vt:lpstr>
      <vt:lpstr>Seller Performance</vt:lpstr>
      <vt:lpstr>Sales by Region</vt:lpstr>
      <vt:lpstr>Payment Method Breakdown</vt:lpstr>
      <vt:lpstr>Discount Impact</vt:lpstr>
      <vt:lpstr>shopee_dataset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Amirah Ezzamie</cp:lastModifiedBy>
  <dcterms:created xsi:type="dcterms:W3CDTF">2025-12-04T15:54:48Z</dcterms:created>
  <dcterms:modified xsi:type="dcterms:W3CDTF">2026-06-10T14:58:24Z</dcterms:modified>
</cp:coreProperties>
</file>